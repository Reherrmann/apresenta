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Projeto_Equipe" sheetId="2" state="visible" r:id="rId2"/>
    <sheet xmlns:r="http://schemas.openxmlformats.org/officeDocument/2006/relationships" name="Frentes" sheetId="3" state="visible" r:id="rId3"/>
    <sheet xmlns:r="http://schemas.openxmlformats.org/officeDocument/2006/relationships" name="Parceiros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Producao_Eventos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54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3" customWidth="1" min="3" max="3"/>
    <col width="45" customWidth="1" min="4" max="4"/>
    <col width="36" customWidth="1" min="5" max="5"/>
    <col width="35" customWidth="1" min="6" max="6"/>
    <col width="45" customWidth="1" min="7" max="7"/>
    <col width="21" customWidth="1" min="8" max="8"/>
    <col width="19" customWidth="1" min="9" max="9"/>
    <col width="70" customWidth="1" min="10" max="10"/>
    <col width="35" customWidth="1" min="11" max="11"/>
    <col width="12" customWidth="1" min="12" max="12"/>
    <col width="9" customWidth="1" min="13" max="13"/>
    <col width="14" customWidth="1" min="14" max="14"/>
    <col width="15" customWidth="1" min="15" max="15"/>
    <col width="17" customWidth="1" min="16" max="16"/>
    <col width="21" customWidth="1" min="17" max="17"/>
    <col width="24" customWidth="1" min="18" max="18"/>
    <col width="67" customWidth="1" min="19" max="19"/>
    <col width="70" customWidth="1" min="20" max="20"/>
    <col width="10" customWidth="1" min="21" max="21"/>
  </cols>
  <sheetData>
    <row r="1">
      <c r="A1" s="1" t="inlineStr">
        <is>
          <t>id_projeto</t>
        </is>
      </c>
      <c r="B1" s="1" t="inlineStr">
        <is>
          <t>frente_tematica</t>
        </is>
      </c>
      <c r="C1" s="1" t="inlineStr">
        <is>
          <t>projeto</t>
        </is>
      </c>
      <c r="D1" s="1" t="inlineStr">
        <is>
          <t>parceiro_principal</t>
        </is>
      </c>
      <c r="E1" s="1" t="inlineStr">
        <is>
          <t>outros_parceiros</t>
        </is>
      </c>
      <c r="F1" s="1" t="inlineStr">
        <is>
          <t>coordenacao</t>
        </is>
      </c>
      <c r="G1" s="1" t="inlineStr">
        <is>
          <t>equipe</t>
        </is>
      </c>
      <c r="H1" s="1" t="inlineStr">
        <is>
          <t>colaboracao_externa</t>
        </is>
      </c>
      <c r="I1" s="1" t="inlineStr">
        <is>
          <t>abordagem</t>
        </is>
      </c>
      <c r="J1" s="1" t="inlineStr">
        <is>
          <t>metodologia</t>
        </is>
      </c>
      <c r="K1" s="1" t="inlineStr">
        <is>
          <t>territorio</t>
        </is>
      </c>
      <c r="L1" s="1" t="inlineStr">
        <is>
          <t>ano_inicio</t>
        </is>
      </c>
      <c r="M1" s="1" t="inlineStr">
        <is>
          <t>ano_fim</t>
        </is>
      </c>
      <c r="N1" s="1" t="inlineStr">
        <is>
          <t>status</t>
        </is>
      </c>
      <c r="O1" s="1" t="inlineStr">
        <is>
          <t>n_entrevistas</t>
        </is>
      </c>
      <c r="P1" s="1" t="inlineStr">
        <is>
          <t>n_grupos_focais</t>
        </is>
      </c>
      <c r="Q1" s="1" t="inlineStr">
        <is>
          <t>unidades_analisadas</t>
        </is>
      </c>
      <c r="R1" s="1" t="inlineStr">
        <is>
          <t>unidades_tipo</t>
        </is>
      </c>
      <c r="S1" s="1" t="inlineStr">
        <is>
          <t>produto_principal</t>
        </is>
      </c>
      <c r="T1" s="1" t="inlineStr">
        <is>
          <t>resumo</t>
        </is>
      </c>
      <c r="U1" s="1" t="inlineStr">
        <is>
          <t>destaque</t>
        </is>
      </c>
    </row>
    <row r="2">
      <c r="A2" t="inlineStr">
        <is>
          <t>P01</t>
        </is>
      </c>
      <c r="B2" t="inlineStr">
        <is>
          <t>Saúde e bem-estar</t>
        </is>
      </c>
      <c r="C2" s="2" t="inlineStr">
        <is>
          <t>Acesso a consultas especializadas na rede básica</t>
        </is>
      </c>
      <c r="D2" t="inlineStr">
        <is>
          <t>Fundação Horizonte Social</t>
        </is>
      </c>
      <c r="E2" t="inlineStr"/>
      <c r="F2" t="inlineStr">
        <is>
          <t>Helena Marques</t>
        </is>
      </c>
      <c r="G2" t="inlineStr">
        <is>
          <t>Mateus Albuquerque; Camile Brandão</t>
        </is>
      </c>
      <c r="H2" t="inlineStr"/>
      <c r="I2" t="inlineStr">
        <is>
          <t>Qualitativa</t>
        </is>
      </c>
      <c r="J2" s="2" t="inlineStr">
        <is>
          <t>Entrevistas com usuários, médicos e gestores de unidades</t>
        </is>
      </c>
      <c r="K2" t="inlineStr">
        <is>
          <t>Campinas (SP) e Juiz de Fora (MG)</t>
        </is>
      </c>
      <c r="L2" t="n">
        <v>2025</v>
      </c>
      <c r="M2" t="n">
        <v>2025</v>
      </c>
      <c r="N2" t="inlineStr">
        <is>
          <t>Concluído</t>
        </is>
      </c>
      <c r="O2" t="n">
        <v>36</v>
      </c>
      <c r="R2" t="inlineStr"/>
      <c r="S2" s="2" t="inlineStr">
        <is>
          <t>Relatório técnico com mapa dos gargalos de encaminhamento</t>
        </is>
      </c>
      <c r="T2" s="2" t="inlineStr">
        <is>
          <t>Descreve onde o acesso a especialistas trava na rede básica e que arranjos locais funcionam melhor.</t>
        </is>
      </c>
      <c r="U2" t="inlineStr">
        <is>
          <t>Não</t>
        </is>
      </c>
    </row>
    <row r="3">
      <c r="A3" t="inlineStr">
        <is>
          <t>P02</t>
        </is>
      </c>
      <c r="B3" t="inlineStr">
        <is>
          <t>Saúde e bem-estar</t>
        </is>
      </c>
      <c r="C3" s="2" t="inlineStr">
        <is>
          <t>Satisfação de usuários com o atendimento em unidades de saúde</t>
        </is>
      </c>
      <c r="D3" t="inlineStr">
        <is>
          <t>Prefeitura de Rio Claro do Sul (Secretaria de Saúde)</t>
        </is>
      </c>
      <c r="E3" t="inlineStr"/>
      <c r="F3" t="inlineStr">
        <is>
          <t>Helena Marques</t>
        </is>
      </c>
      <c r="G3" t="inlineStr">
        <is>
          <t>Gustavo Lacerda; Mateus Albuquerque</t>
        </is>
      </c>
      <c r="H3" t="inlineStr"/>
      <c r="I3" t="inlineStr">
        <is>
          <t>Quantitativa</t>
        </is>
      </c>
      <c r="J3" s="2" t="inlineStr">
        <is>
          <t>Survey presencial com 3.000 usuários em 42 unidades</t>
        </is>
      </c>
      <c r="K3" t="inlineStr">
        <is>
          <t>Rio Claro do Sul</t>
        </is>
      </c>
      <c r="L3" t="n">
        <v>2025</v>
      </c>
      <c r="M3" t="n">
        <v>2025</v>
      </c>
      <c r="N3" t="inlineStr">
        <is>
          <t>Concluído</t>
        </is>
      </c>
      <c r="Q3" t="n">
        <v>42</v>
      </c>
      <c r="R3" t="inlineStr">
        <is>
          <t>unidades pesquisadas</t>
        </is>
      </c>
      <c r="S3" s="2" t="inlineStr">
        <is>
          <t>Painel de satisfação por unidade e relatório de recomendações</t>
        </is>
      </c>
      <c r="T3" s="2" t="inlineStr">
        <is>
          <t>Mede a satisfação com tempo de espera, acolhimento e resolutividade e compara as unidades.</t>
        </is>
      </c>
      <c r="U3" t="inlineStr">
        <is>
          <t>Sim</t>
        </is>
      </c>
    </row>
    <row r="4">
      <c r="A4" t="inlineStr">
        <is>
          <t>P03</t>
        </is>
      </c>
      <c r="B4" t="inlineStr">
        <is>
          <t>Saúde e bem-estar</t>
        </is>
      </c>
      <c r="C4" s="2" t="inlineStr">
        <is>
          <t>Saúde mental de profissionais de enfermagem</t>
        </is>
      </c>
      <c r="D4" t="inlineStr">
        <is>
          <t>Hospital Universitário Santa Aurora</t>
        </is>
      </c>
      <c r="E4" t="inlineStr"/>
      <c r="F4" t="inlineStr">
        <is>
          <t>Beatriz Nogueira; Helena Marques</t>
        </is>
      </c>
      <c r="G4" t="inlineStr">
        <is>
          <t>Camile Brandão; Tiago Valente</t>
        </is>
      </c>
      <c r="H4" t="inlineStr"/>
      <c r="I4" t="inlineStr">
        <is>
          <t>Mista</t>
        </is>
      </c>
      <c r="J4" s="2" t="inlineStr">
        <is>
          <t>Questionário com 800 profissionais e entrevistas de aprofundamento</t>
        </is>
      </c>
      <c r="K4" t="inlineStr">
        <is>
          <t>São Paulo</t>
        </is>
      </c>
      <c r="L4" t="n">
        <v>2024</v>
      </c>
      <c r="M4" t="n">
        <v>2025</v>
      </c>
      <c r="N4" t="inlineStr">
        <is>
          <t>Concluído</t>
        </is>
      </c>
      <c r="O4" t="n">
        <v>24</v>
      </c>
      <c r="R4" t="inlineStr"/>
      <c r="S4" s="2" t="inlineStr">
        <is>
          <t>Relatório final e guia de boas práticas para gestores</t>
        </is>
      </c>
      <c r="T4" s="2" t="inlineStr">
        <is>
          <t>Identifica fatores de desgaste e de proteção da saúde mental de equipes de enfermagem.</t>
        </is>
      </c>
      <c r="U4" t="inlineStr">
        <is>
          <t>Não</t>
        </is>
      </c>
    </row>
    <row r="5">
      <c r="A5" t="inlineStr">
        <is>
          <t>P04</t>
        </is>
      </c>
      <c r="B5" t="inlineStr">
        <is>
          <t>Trabalho e renda</t>
        </is>
      </c>
      <c r="C5" s="2" t="inlineStr">
        <is>
          <t>Renda e endividamento de microempreendedores</t>
        </is>
      </c>
      <c r="D5" t="inlineStr">
        <is>
          <t>Banco Meridional</t>
        </is>
      </c>
      <c r="E5" t="inlineStr"/>
      <c r="F5" t="inlineStr">
        <is>
          <t>Beatriz Nogueira</t>
        </is>
      </c>
      <c r="G5" t="inlineStr">
        <is>
          <t>Gustavo Lacerda; Isadora Pimentel</t>
        </is>
      </c>
      <c r="H5" t="inlineStr"/>
      <c r="I5" t="inlineStr">
        <is>
          <t>Mista</t>
        </is>
      </c>
      <c r="J5" s="2" t="inlineStr">
        <is>
          <t>Survey com 2.000 microempreendedores e entrevistas em profundidade</t>
        </is>
      </c>
      <c r="K5" t="inlineStr">
        <is>
          <t>Capitais do Sul e do Sudeste</t>
        </is>
      </c>
      <c r="L5" t="n">
        <v>2025</v>
      </c>
      <c r="M5" t="n">
        <v>2025</v>
      </c>
      <c r="N5" t="inlineStr">
        <is>
          <t>Concluído</t>
        </is>
      </c>
      <c r="O5" t="n">
        <v>28</v>
      </c>
      <c r="R5" t="inlineStr"/>
      <c r="S5" s="2" t="inlineStr">
        <is>
          <t>Relatório com perfil de renda e dívida e recomendações de produto</t>
        </is>
      </c>
      <c r="T5" s="2" t="inlineStr">
        <is>
          <t>Mostra como a renda varia ao longo do ano e como o crédito é usado para capital de giro.</t>
        </is>
      </c>
      <c r="U5" t="inlineStr">
        <is>
          <t>Sim</t>
        </is>
      </c>
    </row>
    <row r="6">
      <c r="A6" t="inlineStr">
        <is>
          <t>P05</t>
        </is>
      </c>
      <c r="B6" t="inlineStr">
        <is>
          <t>Trabalho e renda</t>
        </is>
      </c>
      <c r="C6" s="2" t="inlineStr">
        <is>
          <t>Qualificação profissional e inserção no setor de serviços</t>
        </is>
      </c>
      <c r="D6" t="inlineStr">
        <is>
          <t>Instituto Semear</t>
        </is>
      </c>
      <c r="E6" t="inlineStr"/>
      <c r="F6" t="inlineStr">
        <is>
          <t>Rodrigo Tavares</t>
        </is>
      </c>
      <c r="G6" t="inlineStr">
        <is>
          <t>Renata Siqueira; Gustavo Lacerda</t>
        </is>
      </c>
      <c r="H6" t="inlineStr"/>
      <c r="I6" t="inlineStr">
        <is>
          <t>Quantitativa</t>
        </is>
      </c>
      <c r="J6" s="2" t="inlineStr">
        <is>
          <t>Acompanhamento de 1.500 egressos de cursos em três momentos</t>
        </is>
      </c>
      <c r="K6" t="inlineStr">
        <is>
          <t>Região Sul</t>
        </is>
      </c>
      <c r="L6" t="n">
        <v>2024</v>
      </c>
      <c r="M6" t="n">
        <v>2026</v>
      </c>
      <c r="N6" t="inlineStr">
        <is>
          <t>Em andamento</t>
        </is>
      </c>
      <c r="R6" t="inlineStr"/>
      <c r="S6" s="2" t="inlineStr">
        <is>
          <t>Relatórios de acompanhamento por onda</t>
        </is>
      </c>
      <c r="T6" s="2" t="inlineStr">
        <is>
          <t>Acompanha egressos de cursos curtos para medir inserção, renda e permanência no emprego.</t>
        </is>
      </c>
      <c r="U6" t="inlineStr">
        <is>
          <t>Não</t>
        </is>
      </c>
    </row>
    <row r="7">
      <c r="A7" t="inlineStr">
        <is>
          <t>P06</t>
        </is>
      </c>
      <c r="B7" t="inlineStr">
        <is>
          <t>Trabalho e renda</t>
        </is>
      </c>
      <c r="C7" s="2" t="inlineStr">
        <is>
          <t>Cooperativas de reciclagem e geração de renda</t>
        </is>
      </c>
      <c r="D7" t="inlineStr">
        <is>
          <t>Instituto Cidades em Rede</t>
        </is>
      </c>
      <c r="E7" t="inlineStr"/>
      <c r="F7" t="inlineStr">
        <is>
          <t>Rodrigo Tavares</t>
        </is>
      </c>
      <c r="G7" t="inlineStr">
        <is>
          <t>Larissa Duarte; Patrícia Moura</t>
        </is>
      </c>
      <c r="H7" t="inlineStr"/>
      <c r="I7" t="inlineStr">
        <is>
          <t>Qualitativa</t>
        </is>
      </c>
      <c r="J7" s="2" t="inlineStr">
        <is>
          <t>Estudo de caso em 8 cooperativas, com observação e entrevistas</t>
        </is>
      </c>
      <c r="K7" t="inlineStr">
        <is>
          <t>Sul e Sudeste</t>
        </is>
      </c>
      <c r="L7" t="n">
        <v>2025</v>
      </c>
      <c r="N7" t="inlineStr">
        <is>
          <t>Em andamento</t>
        </is>
      </c>
      <c r="O7" t="n">
        <v>32</v>
      </c>
      <c r="Q7" t="n">
        <v>8</v>
      </c>
      <c r="R7" t="inlineStr">
        <is>
          <t>cooperativas</t>
        </is>
      </c>
      <c r="S7" s="2" t="inlineStr">
        <is>
          <t>Estudos de caso e cartilha para novas cooperativas</t>
        </is>
      </c>
      <c r="T7" s="2" t="inlineStr">
        <is>
          <t>Descreve modelos de gestão e de divisão de renda que sustentam cooperativas de catadores.</t>
        </is>
      </c>
      <c r="U7" t="inlineStr">
        <is>
          <t>Não</t>
        </is>
      </c>
    </row>
    <row r="8">
      <c r="A8" t="inlineStr">
        <is>
          <t>P07</t>
        </is>
      </c>
      <c r="B8" t="inlineStr">
        <is>
          <t>Educação</t>
        </is>
      </c>
      <c r="C8" s="2" t="inlineStr">
        <is>
          <t>Alfabetização na idade certa em redes municipais</t>
        </is>
      </c>
      <c r="D8" t="inlineStr">
        <is>
          <t>Fundação Vale Verde</t>
        </is>
      </c>
      <c r="E8" t="inlineStr"/>
      <c r="F8" t="inlineStr">
        <is>
          <t>Beatriz Nogueira; Rodrigo Tavares</t>
        </is>
      </c>
      <c r="G8" t="inlineStr">
        <is>
          <t>Larissa Duarte; Renata Siqueira; Patrícia Moura</t>
        </is>
      </c>
      <c r="H8" t="inlineStr"/>
      <c r="I8" t="inlineStr">
        <is>
          <t>Mista</t>
        </is>
      </c>
      <c r="J8" s="2" t="inlineStr">
        <is>
          <t>Avaliação de leitura de 6.000 alunos e entrevistas com professores</t>
        </is>
      </c>
      <c r="K8" t="inlineStr">
        <is>
          <t>Brasil</t>
        </is>
      </c>
      <c r="L8" t="n">
        <v>2023</v>
      </c>
      <c r="M8" t="n">
        <v>2025</v>
      </c>
      <c r="N8" t="inlineStr">
        <is>
          <t>Concluído</t>
        </is>
      </c>
      <c r="O8" t="n">
        <v>40</v>
      </c>
      <c r="Q8" t="n">
        <v>12</v>
      </c>
      <c r="R8" t="inlineStr">
        <is>
          <t>redes municipais</t>
        </is>
      </c>
      <c r="S8" s="2" t="inlineStr">
        <is>
          <t>Relatório final com práticas associadas a melhores resultados</t>
        </is>
      </c>
      <c r="T8" s="2" t="inlineStr">
        <is>
          <t>Identifica práticas de ensino e de gestão associadas a melhores resultados de alfabetização.</t>
        </is>
      </c>
      <c r="U8" t="inlineStr">
        <is>
          <t>Não</t>
        </is>
      </c>
    </row>
    <row r="9">
      <c r="A9" t="inlineStr">
        <is>
          <t>P08</t>
        </is>
      </c>
      <c r="B9" t="inlineStr">
        <is>
          <t>Educação</t>
        </is>
      </c>
      <c r="C9" s="2" t="inlineStr">
        <is>
          <t>Formação continuada de professores do ensino fundamental</t>
        </is>
      </c>
      <c r="D9" t="inlineStr">
        <is>
          <t>Secretaria Estadual de Educação</t>
        </is>
      </c>
      <c r="E9" t="inlineStr"/>
      <c r="F9" t="inlineStr">
        <is>
          <t>Beatriz Nogueira</t>
        </is>
      </c>
      <c r="G9" t="inlineStr">
        <is>
          <t>Camile Brandão; Eduardo Rangel</t>
        </is>
      </c>
      <c r="H9" t="inlineStr"/>
      <c r="I9" t="inlineStr">
        <is>
          <t>Qualitativa</t>
        </is>
      </c>
      <c r="J9" s="2" t="inlineStr">
        <is>
          <t>Observação de formações, entrevistas e grupos focais com docentes</t>
        </is>
      </c>
      <c r="K9" t="inlineStr">
        <is>
          <t>Interior do estado</t>
        </is>
      </c>
      <c r="L9" t="n">
        <v>2025</v>
      </c>
      <c r="N9" t="inlineStr">
        <is>
          <t>Em andamento</t>
        </is>
      </c>
      <c r="O9" t="n">
        <v>22</v>
      </c>
      <c r="P9" t="n">
        <v>5</v>
      </c>
      <c r="R9" t="inlineStr"/>
      <c r="S9" s="2" t="inlineStr">
        <is>
          <t>Diagnóstico e proposta de desenho de formação</t>
        </is>
      </c>
      <c r="T9" s="2" t="inlineStr">
        <is>
          <t>Entende como a formação continuada chega à sala de aula e o que muda na prática docente.</t>
        </is>
      </c>
      <c r="U9" t="inlineStr">
        <is>
          <t>Não</t>
        </is>
      </c>
    </row>
    <row r="10">
      <c r="A10" t="inlineStr">
        <is>
          <t>P09</t>
        </is>
      </c>
      <c r="B10" t="inlineStr">
        <is>
          <t>Educação</t>
        </is>
      </c>
      <c r="C10" s="2" t="inlineStr">
        <is>
          <t>Bibliotecas escolares e hábitos de leitura</t>
        </is>
      </c>
      <c r="D10" t="inlineStr">
        <is>
          <t>Instituto Semear</t>
        </is>
      </c>
      <c r="E10" t="inlineStr"/>
      <c r="F10" t="inlineStr">
        <is>
          <t>Helena Marques</t>
        </is>
      </c>
      <c r="G10" t="inlineStr">
        <is>
          <t>Isadora Pimentel; Gustavo Lacerda</t>
        </is>
      </c>
      <c r="H10" t="inlineStr"/>
      <c r="I10" t="inlineStr">
        <is>
          <t>Mista</t>
        </is>
      </c>
      <c r="J10" s="2" t="inlineStr">
        <is>
          <t>Survey com 2.500 estudantes e visitas a 30 bibliotecas</t>
        </is>
      </c>
      <c r="K10" t="inlineStr">
        <is>
          <t>Região Sudeste</t>
        </is>
      </c>
      <c r="L10" t="n">
        <v>2025</v>
      </c>
      <c r="M10" t="n">
        <v>2025</v>
      </c>
      <c r="N10" t="inlineStr">
        <is>
          <t>Concluído</t>
        </is>
      </c>
      <c r="P10" t="n">
        <v>6</v>
      </c>
      <c r="Q10" t="n">
        <v>30</v>
      </c>
      <c r="R10" t="inlineStr">
        <is>
          <t>bibliotecas visitadas</t>
        </is>
      </c>
      <c r="S10" s="2" t="inlineStr">
        <is>
          <t>Relatório e guia de uso do acervo</t>
        </is>
      </c>
      <c r="T10" s="2" t="inlineStr">
        <is>
          <t>Relaciona estrutura e uso das bibliotecas escolares com o hábito de leitura dos estudantes.</t>
        </is>
      </c>
      <c r="U10" t="inlineStr">
        <is>
          <t>Não</t>
        </is>
      </c>
    </row>
    <row r="11">
      <c r="A11" t="inlineStr">
        <is>
          <t>P10</t>
        </is>
      </c>
      <c r="B11" t="inlineStr">
        <is>
          <t>Clima e meio ambiente</t>
        </is>
      </c>
      <c r="C11" s="2" t="inlineStr">
        <is>
          <t>Percepção de risco de enchentes em bairros periféricos</t>
        </is>
      </c>
      <c r="D11" t="inlineStr">
        <is>
          <t>Prefeitura de Rio Claro do Sul (Defesa Civil)</t>
        </is>
      </c>
      <c r="E11" t="inlineStr"/>
      <c r="F11" t="inlineStr">
        <is>
          <t>Rodrigo Tavares</t>
        </is>
      </c>
      <c r="G11" t="inlineStr">
        <is>
          <t>Larissa Duarte; Camile Brandão; Eduardo Rangel</t>
        </is>
      </c>
      <c r="H11" t="inlineStr"/>
      <c r="I11" t="inlineStr">
        <is>
          <t>Mista</t>
        </is>
      </c>
      <c r="J11" s="2" t="inlineStr">
        <is>
          <t>Survey domiciliar, mapeamento participativo e entrevistas</t>
        </is>
      </c>
      <c r="K11" t="inlineStr">
        <is>
          <t>Rio Claro do Sul</t>
        </is>
      </c>
      <c r="L11" t="n">
        <v>2024</v>
      </c>
      <c r="M11" t="n">
        <v>2025</v>
      </c>
      <c r="N11" t="inlineStr">
        <is>
          <t>Concluído</t>
        </is>
      </c>
      <c r="O11" t="n">
        <v>35</v>
      </c>
      <c r="P11" t="n">
        <v>6</v>
      </c>
      <c r="R11" t="inlineStr"/>
      <c r="S11" s="2" t="inlineStr">
        <is>
          <t>Mapa de risco percebido e plano de comunicação com moradores</t>
        </is>
      </c>
      <c r="T11" s="2" t="inlineStr">
        <is>
          <t>Cruza o risco medido com o risco percebido por moradores e propõe formas de alerta mais eficazes.</t>
        </is>
      </c>
      <c r="U11" t="inlineStr">
        <is>
          <t>Sim</t>
        </is>
      </c>
    </row>
    <row r="12">
      <c r="A12" t="inlineStr">
        <is>
          <t>P11</t>
        </is>
      </c>
      <c r="B12" t="inlineStr">
        <is>
          <t>Clima e meio ambiente</t>
        </is>
      </c>
      <c r="C12" s="2" t="inlineStr">
        <is>
          <t>Adaptação climática em pequenas propriedades rurais</t>
        </is>
      </c>
      <c r="D12" t="inlineStr">
        <is>
          <t>Cooperativa AgroNorte</t>
        </is>
      </c>
      <c r="E12" t="inlineStr"/>
      <c r="F12" t="inlineStr">
        <is>
          <t>Rodrigo Tavares</t>
        </is>
      </c>
      <c r="G12" t="inlineStr">
        <is>
          <t>Larissa Duarte; Helena Marques</t>
        </is>
      </c>
      <c r="H12" t="inlineStr"/>
      <c r="I12" t="inlineStr">
        <is>
          <t>Qualitativa</t>
        </is>
      </c>
      <c r="J12" s="2" t="inlineStr">
        <is>
          <t>Entrevistas em profundidade e oficinas com famílias produtoras</t>
        </is>
      </c>
      <c r="K12" t="inlineStr">
        <is>
          <t>Bacia do Rio Negro</t>
        </is>
      </c>
      <c r="L12" t="n">
        <v>2025</v>
      </c>
      <c r="N12" t="inlineStr">
        <is>
          <t>Em andamento</t>
        </is>
      </c>
      <c r="O12" t="n">
        <v>45</v>
      </c>
      <c r="R12" t="inlineStr"/>
      <c r="S12" s="2" t="inlineStr">
        <is>
          <t>Relatório de práticas de adaptação e oficinas de devolução</t>
        </is>
      </c>
      <c r="T12" s="2" t="inlineStr">
        <is>
          <t>Registra como famílias produtoras já se adaptam a secas e cheias e que apoios faltam.</t>
        </is>
      </c>
      <c r="U12" t="inlineStr">
        <is>
          <t>Não</t>
        </is>
      </c>
    </row>
    <row r="13">
      <c r="A13" t="inlineStr">
        <is>
          <t>P12</t>
        </is>
      </c>
      <c r="B13" t="inlineStr">
        <is>
          <t>Clima e meio ambiente</t>
        </is>
      </c>
      <c r="C13" s="2" t="inlineStr">
        <is>
          <t>Inventário de emissões em municípios de pequeno porte</t>
        </is>
      </c>
      <c r="D13" t="inlineStr">
        <is>
          <t>Instituto Cidades em Rede</t>
        </is>
      </c>
      <c r="E13" t="inlineStr"/>
      <c r="F13" t="inlineStr">
        <is>
          <t>Caio Ferraz</t>
        </is>
      </c>
      <c r="G13" t="inlineStr">
        <is>
          <t>Eduardo Rangel; Gustavo Lacerda</t>
        </is>
      </c>
      <c r="H13" t="inlineStr"/>
      <c r="I13" t="inlineStr">
        <is>
          <t>Dados secundários</t>
        </is>
      </c>
      <c r="J13" s="2" t="inlineStr">
        <is>
          <t>Cálculo de emissões a partir de bases oficiais e dados municipais</t>
        </is>
      </c>
      <c r="K13" t="inlineStr">
        <is>
          <t>Municípios de pequeno porte</t>
        </is>
      </c>
      <c r="M13" t="n">
        <v>2025</v>
      </c>
      <c r="N13" t="inlineStr">
        <is>
          <t>Recorrente</t>
        </is>
      </c>
      <c r="Q13" t="n">
        <v>40</v>
      </c>
      <c r="R13" t="inlineStr">
        <is>
          <t>municípios</t>
        </is>
      </c>
      <c r="S13" s="2" t="inlineStr">
        <is>
          <t>Inventários anuais por município e metodologia aberta</t>
        </is>
      </c>
      <c r="T13" s="2" t="inlineStr">
        <is>
          <t>Estima emissões de municípios sem equipe técnica própria e apoia metas locais de redução.</t>
        </is>
      </c>
      <c r="U13" t="inlineStr">
        <is>
          <t>Não</t>
        </is>
      </c>
    </row>
    <row r="14">
      <c r="A14" t="inlineStr">
        <is>
          <t>P13</t>
        </is>
      </c>
      <c r="B14" t="inlineStr">
        <is>
          <t>Cultura e comunicação</t>
        </is>
      </c>
      <c r="C14" s="2" t="inlineStr">
        <is>
          <t>Hábitos culturais e acesso a equipamentos públicos</t>
        </is>
      </c>
      <c r="D14" t="inlineStr">
        <is>
          <t>Secretaria Estadual de Cultura</t>
        </is>
      </c>
      <c r="E14" t="inlineStr"/>
      <c r="F14" t="inlineStr">
        <is>
          <t>Beatriz Nogueira; Rodrigo Tavares</t>
        </is>
      </c>
      <c r="G14" t="inlineStr">
        <is>
          <t>Isadora Pimentel; Gustavo Lacerda</t>
        </is>
      </c>
      <c r="H14" t="inlineStr"/>
      <c r="I14" t="inlineStr">
        <is>
          <t>Quantitativa</t>
        </is>
      </c>
      <c r="J14" s="2" t="inlineStr">
        <is>
          <t>Survey com 4.000 moradores e georreferenciamento de equipamentos</t>
        </is>
      </c>
      <c r="K14" t="inlineStr">
        <is>
          <t>Estado de São Paulo</t>
        </is>
      </c>
      <c r="L14" t="n">
        <v>2025</v>
      </c>
      <c r="M14" t="n">
        <v>2025</v>
      </c>
      <c r="N14" t="inlineStr">
        <is>
          <t>Concluído</t>
        </is>
      </c>
      <c r="R14" t="inlineStr"/>
      <c r="S14" s="2" t="inlineStr">
        <is>
          <t>Relatório e base de dados anonimizada</t>
        </is>
      </c>
      <c r="T14" s="2" t="inlineStr">
        <is>
          <t>Mostra quem frequenta equipamentos culturais públicos e como a distância pesa no acesso.</t>
        </is>
      </c>
      <c r="U14" t="inlineStr">
        <is>
          <t>Não</t>
        </is>
      </c>
    </row>
    <row r="15">
      <c r="A15" t="inlineStr">
        <is>
          <t>P14</t>
        </is>
      </c>
      <c r="B15" t="inlineStr">
        <is>
          <t>Cultura e comunicação</t>
        </is>
      </c>
      <c r="C15" s="2" t="inlineStr">
        <is>
          <t>Rádios comunitárias e informação local</t>
        </is>
      </c>
      <c r="D15" t="inlineStr">
        <is>
          <t>Centro de Estudos da Sociedade Digital (CESD)</t>
        </is>
      </c>
      <c r="E15" t="inlineStr"/>
      <c r="F15" t="inlineStr">
        <is>
          <t>Helena Marques</t>
        </is>
      </c>
      <c r="G15" t="inlineStr">
        <is>
          <t>Renata Siqueira; Larissa Duarte</t>
        </is>
      </c>
      <c r="H15" t="inlineStr"/>
      <c r="I15" t="inlineStr">
        <is>
          <t>Qualitativa</t>
        </is>
      </c>
      <c r="J15" s="2" t="inlineStr">
        <is>
          <t>Entrevistas com radialistas e grupos focais com ouvintes</t>
        </is>
      </c>
      <c r="K15" t="inlineStr">
        <is>
          <t>Norte e Nordeste</t>
        </is>
      </c>
      <c r="L15" t="n">
        <v>2025</v>
      </c>
      <c r="N15" t="inlineStr">
        <is>
          <t>Em andamento</t>
        </is>
      </c>
      <c r="O15" t="n">
        <v>26</v>
      </c>
      <c r="P15" t="n">
        <v>6</v>
      </c>
      <c r="R15" t="inlineStr"/>
      <c r="S15" s="2" t="inlineStr">
        <is>
          <t>Relatório e série de episódios de divulgação</t>
        </is>
      </c>
      <c r="T15" s="2" t="inlineStr">
        <is>
          <t>Investiga o papel das rádios comunitárias no acesso à informação em cidades pequenas.</t>
        </is>
      </c>
      <c r="U15" t="inlineStr">
        <is>
          <t>Não</t>
        </is>
      </c>
    </row>
    <row r="16">
      <c r="A16" t="inlineStr">
        <is>
          <t>P15</t>
        </is>
      </c>
      <c r="B16" t="inlineStr">
        <is>
          <t>Habitação e território</t>
        </is>
      </c>
      <c r="C16" s="2" t="inlineStr">
        <is>
          <t>Condições de moradia em ocupações urbanas</t>
        </is>
      </c>
      <c r="D16" t="inlineStr">
        <is>
          <t>Prefeitura de Rio Claro do Sul (Secretaria de Habitação)</t>
        </is>
      </c>
      <c r="E16" t="inlineStr">
        <is>
          <t>Agência Municipal de Fomento (AMF)</t>
        </is>
      </c>
      <c r="F16" t="inlineStr">
        <is>
          <t>Caio Ferraz; Rodrigo Tavares</t>
        </is>
      </c>
      <c r="G16" t="inlineStr">
        <is>
          <t>Larissa Duarte; Eduardo Rangel; Camile Brandão</t>
        </is>
      </c>
      <c r="H16" t="inlineStr"/>
      <c r="I16" t="inlineStr">
        <is>
          <t>Mista</t>
        </is>
      </c>
      <c r="J16" s="2" t="inlineStr">
        <is>
          <t>Censo de domicílios em 12 ocupações e entrevistas com moradores</t>
        </is>
      </c>
      <c r="K16" t="inlineStr">
        <is>
          <t>Rio Claro do Sul</t>
        </is>
      </c>
      <c r="L16" t="n">
        <v>2025</v>
      </c>
      <c r="N16" t="inlineStr">
        <is>
          <t>Em andamento</t>
        </is>
      </c>
      <c r="O16" t="n">
        <v>30</v>
      </c>
      <c r="Q16" t="n">
        <v>12</v>
      </c>
      <c r="R16" t="inlineStr">
        <is>
          <t>ocupações</t>
        </is>
      </c>
      <c r="S16" s="2" t="inlineStr">
        <is>
          <t>Cadastro de domicílios e relatório de prioridades de urbanização</t>
        </is>
      </c>
      <c r="T16" s="2" t="inlineStr">
        <is>
          <t>Levanta infraestrutura, riscos e demandas de moradia em ocupações para orientar investimentos.</t>
        </is>
      </c>
      <c r="U16" t="inlineStr">
        <is>
          <t>Sim</t>
        </is>
      </c>
    </row>
    <row r="17">
      <c r="A17" t="inlineStr">
        <is>
          <t>P16</t>
        </is>
      </c>
      <c r="B17" t="inlineStr">
        <is>
          <t>Habitação e território</t>
        </is>
      </c>
      <c r="C17" s="2" t="inlineStr">
        <is>
          <t>Deslocamento casa-trabalho em regiões metropolitanas</t>
        </is>
      </c>
      <c r="D17" t="inlineStr">
        <is>
          <t>Associação Nacional de Mobilidade Ativa (ANMA)</t>
        </is>
      </c>
      <c r="E17" t="inlineStr"/>
      <c r="F17" t="inlineStr">
        <is>
          <t>Rodrigo Tavares</t>
        </is>
      </c>
      <c r="G17" t="inlineStr">
        <is>
          <t>Gustavo Lacerda; Eduardo Rangel</t>
        </is>
      </c>
      <c r="H17" t="inlineStr"/>
      <c r="I17" t="inlineStr">
        <is>
          <t>Quantitativa</t>
        </is>
      </c>
      <c r="J17" s="2" t="inlineStr">
        <is>
          <t>Análise de pesquisa origem-destino e dados de bilhetagem</t>
        </is>
      </c>
      <c r="K17" t="inlineStr">
        <is>
          <t>Três regiões metropolitanas</t>
        </is>
      </c>
      <c r="L17" t="n">
        <v>2025</v>
      </c>
      <c r="M17" t="n">
        <v>2025</v>
      </c>
      <c r="N17" t="inlineStr">
        <is>
          <t>Concluído</t>
        </is>
      </c>
      <c r="Q17" t="n">
        <v>3</v>
      </c>
      <c r="R17" t="inlineStr">
        <is>
          <t>regiões metropolitanas</t>
        </is>
      </c>
      <c r="S17" s="2" t="inlineStr">
        <is>
          <t>Relatório com tempos de viagem por faixa de renda</t>
        </is>
      </c>
      <c r="T17" s="2" t="inlineStr">
        <is>
          <t>Compara tempo e custo do deslocamento ao trabalho entre faixas de renda e regiões.</t>
        </is>
      </c>
      <c r="U17" t="inlineStr">
        <is>
          <t>Não</t>
        </is>
      </c>
    </row>
    <row r="18">
      <c r="A18" t="inlineStr">
        <is>
          <t>P17</t>
        </is>
      </c>
      <c r="B18" t="inlineStr">
        <is>
          <t>Habitação e território</t>
        </is>
      </c>
      <c r="C18" s="2" t="inlineStr">
        <is>
          <t>Mapa de vulnerabilidade social por setor censitário</t>
        </is>
      </c>
      <c r="D18" t="inlineStr">
        <is>
          <t>Agência Municipal de Fomento (AMF)</t>
        </is>
      </c>
      <c r="E18" t="inlineStr"/>
      <c r="F18" t="inlineStr">
        <is>
          <t>Caio Ferraz</t>
        </is>
      </c>
      <c r="G18" t="inlineStr">
        <is>
          <t>Eduardo Rangel; Patrícia Moura</t>
        </is>
      </c>
      <c r="H18" t="inlineStr"/>
      <c r="I18" t="inlineStr">
        <is>
          <t>Dados secundários</t>
        </is>
      </c>
      <c r="J18" s="2" t="inlineStr">
        <is>
          <t>Índice composto a partir de dados do censo e de cadastros públicos</t>
        </is>
      </c>
      <c r="K18" t="inlineStr">
        <is>
          <t>Rio Claro do Sul</t>
        </is>
      </c>
      <c r="L18" t="n">
        <v>2025</v>
      </c>
      <c r="M18" t="n">
        <v>2025</v>
      </c>
      <c r="N18" t="inlineStr">
        <is>
          <t>Concluído</t>
        </is>
      </c>
      <c r="Q18" t="n">
        <v>3</v>
      </c>
      <c r="R18" t="inlineStr">
        <is>
          <t>dimensões do índice</t>
        </is>
      </c>
      <c r="S18" s="2" t="inlineStr">
        <is>
          <t>Índice por setor e mapa interativo</t>
        </is>
      </c>
      <c r="T18" s="2" t="inlineStr">
        <is>
          <t>Combina renda, infraestrutura e escolaridade em um índice de vulnerabilidade por setor.</t>
        </is>
      </c>
      <c r="U18" t="inlineStr">
        <is>
          <t>Não</t>
        </is>
      </c>
    </row>
    <row r="19">
      <c r="A19" t="inlineStr">
        <is>
          <t>P18</t>
        </is>
      </c>
      <c r="B19" t="inlineStr">
        <is>
          <t>Gestão pública e dados</t>
        </is>
      </c>
      <c r="C19" s="2" t="inlineStr">
        <is>
          <t>Painel de transparência de contratos municipais</t>
        </is>
      </c>
      <c r="D19" t="inlineStr">
        <is>
          <t>Prefeitura de Rio Claro do Sul (Controladoria)</t>
        </is>
      </c>
      <c r="E19" t="inlineStr"/>
      <c r="F19" t="inlineStr">
        <is>
          <t>Caio Ferraz</t>
        </is>
      </c>
      <c r="G19" t="inlineStr">
        <is>
          <t>Patrícia Moura; Eduardo Rangel</t>
        </is>
      </c>
      <c r="H19" t="inlineStr"/>
      <c r="I19" t="inlineStr">
        <is>
          <t>Dados secundários</t>
        </is>
      </c>
      <c r="J19" s="2" t="inlineStr">
        <is>
          <t>Padronização de bases de contratos e desenho de indicadores</t>
        </is>
      </c>
      <c r="K19" t="inlineStr">
        <is>
          <t>Rio Claro do Sul</t>
        </is>
      </c>
      <c r="N19" t="inlineStr">
        <is>
          <t>A confirmar</t>
        </is>
      </c>
      <c r="R19" t="inlineStr"/>
      <c r="S19" s="2" t="inlineStr">
        <is>
          <t>Proposta de indicadores para o painel de transparência</t>
        </is>
      </c>
      <c r="T19" s="2" t="inlineStr">
        <is>
          <t>Organiza dados de contratos em indicadores simples para controle social.</t>
        </is>
      </c>
      <c r="U19" t="inlineStr">
        <is>
          <t>Não</t>
        </is>
      </c>
    </row>
    <row r="20">
      <c r="A20" t="inlineStr">
        <is>
          <t>P19</t>
        </is>
      </c>
      <c r="B20" t="inlineStr">
        <is>
          <t>Gestão pública e dados</t>
        </is>
      </c>
      <c r="C20" s="2" t="inlineStr">
        <is>
          <t>Avaliação de programa municipal de microcrédito</t>
        </is>
      </c>
      <c r="D20" t="inlineStr">
        <is>
          <t>Agência Municipal de Fomento (AMF)</t>
        </is>
      </c>
      <c r="E20" t="inlineStr">
        <is>
          <t>Banco Meridional</t>
        </is>
      </c>
      <c r="F20" t="inlineStr">
        <is>
          <t>Beatriz Nogueira; Caio Ferraz</t>
        </is>
      </c>
      <c r="G20" t="inlineStr">
        <is>
          <t>Gustavo Lacerda; Isadora Pimentel; Patrícia Moura; Tiago Valente</t>
        </is>
      </c>
      <c r="H20" t="inlineStr"/>
      <c r="I20" t="inlineStr">
        <is>
          <t>Mista</t>
        </is>
      </c>
      <c r="J20" s="2" t="inlineStr">
        <is>
          <t>Comparação de beneficiários e não beneficiários, survey e entrevistas</t>
        </is>
      </c>
      <c r="K20" t="inlineStr">
        <is>
          <t>Rio Claro do Sul</t>
        </is>
      </c>
      <c r="L20" t="n">
        <v>2025</v>
      </c>
      <c r="M20" t="n">
        <v>2026</v>
      </c>
      <c r="N20" t="inlineStr">
        <is>
          <t>Em andamento</t>
        </is>
      </c>
      <c r="O20" t="n">
        <v>30</v>
      </c>
      <c r="R20" t="inlineStr"/>
      <c r="S20" s="2" t="inlineStr">
        <is>
          <t>Relatório de avaliação com recomendações de desenho</t>
        </is>
      </c>
      <c r="T20" s="2" t="inlineStr">
        <is>
          <t>Avalia efeitos do microcrédito sobre renda e continuidade dos negócios.</t>
        </is>
      </c>
      <c r="U20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</cols>
  <sheetData>
    <row r="1">
      <c r="A1" s="1" t="inlineStr">
        <is>
          <t>id_projeto</t>
        </is>
      </c>
      <c r="B1" s="1" t="inlineStr">
        <is>
          <t>pessoa</t>
        </is>
      </c>
      <c r="C1" s="1" t="inlineStr">
        <is>
          <t>papel</t>
        </is>
      </c>
    </row>
    <row r="2">
      <c r="A2" t="inlineStr">
        <is>
          <t>P01</t>
        </is>
      </c>
      <c r="B2" t="inlineStr">
        <is>
          <t>Helena Marques</t>
        </is>
      </c>
      <c r="C2" t="inlineStr">
        <is>
          <t>Coordenação</t>
        </is>
      </c>
    </row>
    <row r="3">
      <c r="A3" t="inlineStr">
        <is>
          <t>P01</t>
        </is>
      </c>
      <c r="B3" t="inlineStr">
        <is>
          <t>Mateus Albuquerque</t>
        </is>
      </c>
      <c r="C3" t="inlineStr">
        <is>
          <t>Equipe</t>
        </is>
      </c>
    </row>
    <row r="4">
      <c r="A4" t="inlineStr">
        <is>
          <t>P01</t>
        </is>
      </c>
      <c r="B4" t="inlineStr">
        <is>
          <t>Camile Brandão</t>
        </is>
      </c>
      <c r="C4" t="inlineStr">
        <is>
          <t>Equipe</t>
        </is>
      </c>
    </row>
    <row r="5">
      <c r="A5" t="inlineStr">
        <is>
          <t>P02</t>
        </is>
      </c>
      <c r="B5" t="inlineStr">
        <is>
          <t>Helena Marques</t>
        </is>
      </c>
      <c r="C5" t="inlineStr">
        <is>
          <t>Coordenação</t>
        </is>
      </c>
    </row>
    <row r="6">
      <c r="A6" t="inlineStr">
        <is>
          <t>P02</t>
        </is>
      </c>
      <c r="B6" t="inlineStr">
        <is>
          <t>Gustavo Lacerda</t>
        </is>
      </c>
      <c r="C6" t="inlineStr">
        <is>
          <t>Equipe</t>
        </is>
      </c>
    </row>
    <row r="7">
      <c r="A7" t="inlineStr">
        <is>
          <t>P02</t>
        </is>
      </c>
      <c r="B7" t="inlineStr">
        <is>
          <t>Mateus Albuquerque</t>
        </is>
      </c>
      <c r="C7" t="inlineStr">
        <is>
          <t>Equipe</t>
        </is>
      </c>
    </row>
    <row r="8">
      <c r="A8" t="inlineStr">
        <is>
          <t>P03</t>
        </is>
      </c>
      <c r="B8" t="inlineStr">
        <is>
          <t>Beatriz Nogueira</t>
        </is>
      </c>
      <c r="C8" t="inlineStr">
        <is>
          <t>Coordenação</t>
        </is>
      </c>
    </row>
    <row r="9">
      <c r="A9" t="inlineStr">
        <is>
          <t>P03</t>
        </is>
      </c>
      <c r="B9" t="inlineStr">
        <is>
          <t>Helena Marques</t>
        </is>
      </c>
      <c r="C9" t="inlineStr">
        <is>
          <t>Coordenação</t>
        </is>
      </c>
    </row>
    <row r="10">
      <c r="A10" t="inlineStr">
        <is>
          <t>P03</t>
        </is>
      </c>
      <c r="B10" t="inlineStr">
        <is>
          <t>Camile Brandão</t>
        </is>
      </c>
      <c r="C10" t="inlineStr">
        <is>
          <t>Equipe</t>
        </is>
      </c>
    </row>
    <row r="11">
      <c r="A11" t="inlineStr">
        <is>
          <t>P03</t>
        </is>
      </c>
      <c r="B11" t="inlineStr">
        <is>
          <t>Tiago Valente</t>
        </is>
      </c>
      <c r="C11" t="inlineStr">
        <is>
          <t>Equipe</t>
        </is>
      </c>
    </row>
    <row r="12">
      <c r="A12" t="inlineStr">
        <is>
          <t>P04</t>
        </is>
      </c>
      <c r="B12" t="inlineStr">
        <is>
          <t>Beatriz Nogueira</t>
        </is>
      </c>
      <c r="C12" t="inlineStr">
        <is>
          <t>Coordenação</t>
        </is>
      </c>
    </row>
    <row r="13">
      <c r="A13" t="inlineStr">
        <is>
          <t>P04</t>
        </is>
      </c>
      <c r="B13" t="inlineStr">
        <is>
          <t>Gustavo Lacerda</t>
        </is>
      </c>
      <c r="C13" t="inlineStr">
        <is>
          <t>Equipe</t>
        </is>
      </c>
    </row>
    <row r="14">
      <c r="A14" t="inlineStr">
        <is>
          <t>P04</t>
        </is>
      </c>
      <c r="B14" t="inlineStr">
        <is>
          <t>Isadora Pimentel</t>
        </is>
      </c>
      <c r="C14" t="inlineStr">
        <is>
          <t>Equipe</t>
        </is>
      </c>
    </row>
    <row r="15">
      <c r="A15" t="inlineStr">
        <is>
          <t>P05</t>
        </is>
      </c>
      <c r="B15" t="inlineStr">
        <is>
          <t>Rodrigo Tavares</t>
        </is>
      </c>
      <c r="C15" t="inlineStr">
        <is>
          <t>Coordenação</t>
        </is>
      </c>
    </row>
    <row r="16">
      <c r="A16" t="inlineStr">
        <is>
          <t>P05</t>
        </is>
      </c>
      <c r="B16" t="inlineStr">
        <is>
          <t>Renata Siqueira</t>
        </is>
      </c>
      <c r="C16" t="inlineStr">
        <is>
          <t>Equipe</t>
        </is>
      </c>
    </row>
    <row r="17">
      <c r="A17" t="inlineStr">
        <is>
          <t>P05</t>
        </is>
      </c>
      <c r="B17" t="inlineStr">
        <is>
          <t>Gustavo Lacerda</t>
        </is>
      </c>
      <c r="C17" t="inlineStr">
        <is>
          <t>Equipe</t>
        </is>
      </c>
    </row>
    <row r="18">
      <c r="A18" t="inlineStr">
        <is>
          <t>P06</t>
        </is>
      </c>
      <c r="B18" t="inlineStr">
        <is>
          <t>Rodrigo Tavares</t>
        </is>
      </c>
      <c r="C18" t="inlineStr">
        <is>
          <t>Coordenação</t>
        </is>
      </c>
    </row>
    <row r="19">
      <c r="A19" t="inlineStr">
        <is>
          <t>P06</t>
        </is>
      </c>
      <c r="B19" t="inlineStr">
        <is>
          <t>Larissa Duarte</t>
        </is>
      </c>
      <c r="C19" t="inlineStr">
        <is>
          <t>Equipe</t>
        </is>
      </c>
    </row>
    <row r="20">
      <c r="A20" t="inlineStr">
        <is>
          <t>P06</t>
        </is>
      </c>
      <c r="B20" t="inlineStr">
        <is>
          <t>Patrícia Moura</t>
        </is>
      </c>
      <c r="C20" t="inlineStr">
        <is>
          <t>Equipe</t>
        </is>
      </c>
    </row>
    <row r="21">
      <c r="A21" t="inlineStr">
        <is>
          <t>P07</t>
        </is>
      </c>
      <c r="B21" t="inlineStr">
        <is>
          <t>Beatriz Nogueira</t>
        </is>
      </c>
      <c r="C21" t="inlineStr">
        <is>
          <t>Coordenação</t>
        </is>
      </c>
    </row>
    <row r="22">
      <c r="A22" t="inlineStr">
        <is>
          <t>P07</t>
        </is>
      </c>
      <c r="B22" t="inlineStr">
        <is>
          <t>Rodrigo Tavares</t>
        </is>
      </c>
      <c r="C22" t="inlineStr">
        <is>
          <t>Coordenação</t>
        </is>
      </c>
    </row>
    <row r="23">
      <c r="A23" t="inlineStr">
        <is>
          <t>P07</t>
        </is>
      </c>
      <c r="B23" t="inlineStr">
        <is>
          <t>Larissa Duarte</t>
        </is>
      </c>
      <c r="C23" t="inlineStr">
        <is>
          <t>Equipe</t>
        </is>
      </c>
    </row>
    <row r="24">
      <c r="A24" t="inlineStr">
        <is>
          <t>P07</t>
        </is>
      </c>
      <c r="B24" t="inlineStr">
        <is>
          <t>Renata Siqueira</t>
        </is>
      </c>
      <c r="C24" t="inlineStr">
        <is>
          <t>Equipe</t>
        </is>
      </c>
    </row>
    <row r="25">
      <c r="A25" t="inlineStr">
        <is>
          <t>P07</t>
        </is>
      </c>
      <c r="B25" t="inlineStr">
        <is>
          <t>Patrícia Moura</t>
        </is>
      </c>
      <c r="C25" t="inlineStr">
        <is>
          <t>Equipe</t>
        </is>
      </c>
    </row>
    <row r="26">
      <c r="A26" t="inlineStr">
        <is>
          <t>P08</t>
        </is>
      </c>
      <c r="B26" t="inlineStr">
        <is>
          <t>Beatriz Nogueira</t>
        </is>
      </c>
      <c r="C26" t="inlineStr">
        <is>
          <t>Coordenação</t>
        </is>
      </c>
    </row>
    <row r="27">
      <c r="A27" t="inlineStr">
        <is>
          <t>P08</t>
        </is>
      </c>
      <c r="B27" t="inlineStr">
        <is>
          <t>Camile Brandão</t>
        </is>
      </c>
      <c r="C27" t="inlineStr">
        <is>
          <t>Equipe</t>
        </is>
      </c>
    </row>
    <row r="28">
      <c r="A28" t="inlineStr">
        <is>
          <t>P08</t>
        </is>
      </c>
      <c r="B28" t="inlineStr">
        <is>
          <t>Eduardo Rangel</t>
        </is>
      </c>
      <c r="C28" t="inlineStr">
        <is>
          <t>Equipe</t>
        </is>
      </c>
    </row>
    <row r="29">
      <c r="A29" t="inlineStr">
        <is>
          <t>P09</t>
        </is>
      </c>
      <c r="B29" t="inlineStr">
        <is>
          <t>Helena Marques</t>
        </is>
      </c>
      <c r="C29" t="inlineStr">
        <is>
          <t>Coordenação</t>
        </is>
      </c>
    </row>
    <row r="30">
      <c r="A30" t="inlineStr">
        <is>
          <t>P09</t>
        </is>
      </c>
      <c r="B30" t="inlineStr">
        <is>
          <t>Isadora Pimentel</t>
        </is>
      </c>
      <c r="C30" t="inlineStr">
        <is>
          <t>Equipe</t>
        </is>
      </c>
    </row>
    <row r="31">
      <c r="A31" t="inlineStr">
        <is>
          <t>P09</t>
        </is>
      </c>
      <c r="B31" t="inlineStr">
        <is>
          <t>Gustavo Lacerda</t>
        </is>
      </c>
      <c r="C31" t="inlineStr">
        <is>
          <t>Equipe</t>
        </is>
      </c>
    </row>
    <row r="32">
      <c r="A32" t="inlineStr">
        <is>
          <t>P10</t>
        </is>
      </c>
      <c r="B32" t="inlineStr">
        <is>
          <t>Rodrigo Tavares</t>
        </is>
      </c>
      <c r="C32" t="inlineStr">
        <is>
          <t>Coordenação</t>
        </is>
      </c>
    </row>
    <row r="33">
      <c r="A33" t="inlineStr">
        <is>
          <t>P10</t>
        </is>
      </c>
      <c r="B33" t="inlineStr">
        <is>
          <t>Larissa Duarte</t>
        </is>
      </c>
      <c r="C33" t="inlineStr">
        <is>
          <t>Equipe</t>
        </is>
      </c>
    </row>
    <row r="34">
      <c r="A34" t="inlineStr">
        <is>
          <t>P10</t>
        </is>
      </c>
      <c r="B34" t="inlineStr">
        <is>
          <t>Camile Brandão</t>
        </is>
      </c>
      <c r="C34" t="inlineStr">
        <is>
          <t>Equipe</t>
        </is>
      </c>
    </row>
    <row r="35">
      <c r="A35" t="inlineStr">
        <is>
          <t>P10</t>
        </is>
      </c>
      <c r="B35" t="inlineStr">
        <is>
          <t>Eduardo Rangel</t>
        </is>
      </c>
      <c r="C35" t="inlineStr">
        <is>
          <t>Equipe</t>
        </is>
      </c>
    </row>
    <row r="36">
      <c r="A36" t="inlineStr">
        <is>
          <t>P11</t>
        </is>
      </c>
      <c r="B36" t="inlineStr">
        <is>
          <t>Rodrigo Tavares</t>
        </is>
      </c>
      <c r="C36" t="inlineStr">
        <is>
          <t>Coordenação</t>
        </is>
      </c>
    </row>
    <row r="37">
      <c r="A37" t="inlineStr">
        <is>
          <t>P11</t>
        </is>
      </c>
      <c r="B37" t="inlineStr">
        <is>
          <t>Larissa Duarte</t>
        </is>
      </c>
      <c r="C37" t="inlineStr">
        <is>
          <t>Equipe</t>
        </is>
      </c>
    </row>
    <row r="38">
      <c r="A38" t="inlineStr">
        <is>
          <t>P11</t>
        </is>
      </c>
      <c r="B38" t="inlineStr">
        <is>
          <t>Helena Marques</t>
        </is>
      </c>
      <c r="C38" t="inlineStr">
        <is>
          <t>Equipe</t>
        </is>
      </c>
    </row>
    <row r="39">
      <c r="A39" t="inlineStr">
        <is>
          <t>P12</t>
        </is>
      </c>
      <c r="B39" t="inlineStr">
        <is>
          <t>Caio Ferraz</t>
        </is>
      </c>
      <c r="C39" t="inlineStr">
        <is>
          <t>Coordenação</t>
        </is>
      </c>
    </row>
    <row r="40">
      <c r="A40" t="inlineStr">
        <is>
          <t>P12</t>
        </is>
      </c>
      <c r="B40" t="inlineStr">
        <is>
          <t>Eduardo Rangel</t>
        </is>
      </c>
      <c r="C40" t="inlineStr">
        <is>
          <t>Equipe</t>
        </is>
      </c>
    </row>
    <row r="41">
      <c r="A41" t="inlineStr">
        <is>
          <t>P12</t>
        </is>
      </c>
      <c r="B41" t="inlineStr">
        <is>
          <t>Gustavo Lacerda</t>
        </is>
      </c>
      <c r="C41" t="inlineStr">
        <is>
          <t>Equipe</t>
        </is>
      </c>
    </row>
    <row r="42">
      <c r="A42" t="inlineStr">
        <is>
          <t>P13</t>
        </is>
      </c>
      <c r="B42" t="inlineStr">
        <is>
          <t>Beatriz Nogueira</t>
        </is>
      </c>
      <c r="C42" t="inlineStr">
        <is>
          <t>Coordenação</t>
        </is>
      </c>
    </row>
    <row r="43">
      <c r="A43" t="inlineStr">
        <is>
          <t>P13</t>
        </is>
      </c>
      <c r="B43" t="inlineStr">
        <is>
          <t>Rodrigo Tavares</t>
        </is>
      </c>
      <c r="C43" t="inlineStr">
        <is>
          <t>Coordenação</t>
        </is>
      </c>
    </row>
    <row r="44">
      <c r="A44" t="inlineStr">
        <is>
          <t>P13</t>
        </is>
      </c>
      <c r="B44" t="inlineStr">
        <is>
          <t>Isadora Pimentel</t>
        </is>
      </c>
      <c r="C44" t="inlineStr">
        <is>
          <t>Equipe</t>
        </is>
      </c>
    </row>
    <row r="45">
      <c r="A45" t="inlineStr">
        <is>
          <t>P13</t>
        </is>
      </c>
      <c r="B45" t="inlineStr">
        <is>
          <t>Gustavo Lacerda</t>
        </is>
      </c>
      <c r="C45" t="inlineStr">
        <is>
          <t>Equipe</t>
        </is>
      </c>
    </row>
    <row r="46">
      <c r="A46" t="inlineStr">
        <is>
          <t>P14</t>
        </is>
      </c>
      <c r="B46" t="inlineStr">
        <is>
          <t>Helena Marques</t>
        </is>
      </c>
      <c r="C46" t="inlineStr">
        <is>
          <t>Coordenação</t>
        </is>
      </c>
    </row>
    <row r="47">
      <c r="A47" t="inlineStr">
        <is>
          <t>P14</t>
        </is>
      </c>
      <c r="B47" t="inlineStr">
        <is>
          <t>Renata Siqueira</t>
        </is>
      </c>
      <c r="C47" t="inlineStr">
        <is>
          <t>Equipe</t>
        </is>
      </c>
    </row>
    <row r="48">
      <c r="A48" t="inlineStr">
        <is>
          <t>P14</t>
        </is>
      </c>
      <c r="B48" t="inlineStr">
        <is>
          <t>Larissa Duarte</t>
        </is>
      </c>
      <c r="C48" t="inlineStr">
        <is>
          <t>Equipe</t>
        </is>
      </c>
    </row>
    <row r="49">
      <c r="A49" t="inlineStr">
        <is>
          <t>P15</t>
        </is>
      </c>
      <c r="B49" t="inlineStr">
        <is>
          <t>Caio Ferraz</t>
        </is>
      </c>
      <c r="C49" t="inlineStr">
        <is>
          <t>Coordenação</t>
        </is>
      </c>
    </row>
    <row r="50">
      <c r="A50" t="inlineStr">
        <is>
          <t>P15</t>
        </is>
      </c>
      <c r="B50" t="inlineStr">
        <is>
          <t>Rodrigo Tavares</t>
        </is>
      </c>
      <c r="C50" t="inlineStr">
        <is>
          <t>Coordenação</t>
        </is>
      </c>
    </row>
    <row r="51">
      <c r="A51" t="inlineStr">
        <is>
          <t>P15</t>
        </is>
      </c>
      <c r="B51" t="inlineStr">
        <is>
          <t>Larissa Duarte</t>
        </is>
      </c>
      <c r="C51" t="inlineStr">
        <is>
          <t>Equipe</t>
        </is>
      </c>
    </row>
    <row r="52">
      <c r="A52" t="inlineStr">
        <is>
          <t>P15</t>
        </is>
      </c>
      <c r="B52" t="inlineStr">
        <is>
          <t>Eduardo Rangel</t>
        </is>
      </c>
      <c r="C52" t="inlineStr">
        <is>
          <t>Equipe</t>
        </is>
      </c>
    </row>
    <row r="53">
      <c r="A53" t="inlineStr">
        <is>
          <t>P15</t>
        </is>
      </c>
      <c r="B53" t="inlineStr">
        <is>
          <t>Camile Brandão</t>
        </is>
      </c>
      <c r="C53" t="inlineStr">
        <is>
          <t>Equipe</t>
        </is>
      </c>
    </row>
    <row r="54">
      <c r="A54" t="inlineStr">
        <is>
          <t>P16</t>
        </is>
      </c>
      <c r="B54" t="inlineStr">
        <is>
          <t>Rodrigo Tavares</t>
        </is>
      </c>
      <c r="C54" t="inlineStr">
        <is>
          <t>Coordenação</t>
        </is>
      </c>
    </row>
    <row r="55">
      <c r="A55" t="inlineStr">
        <is>
          <t>P16</t>
        </is>
      </c>
      <c r="B55" t="inlineStr">
        <is>
          <t>Gustavo Lacerda</t>
        </is>
      </c>
      <c r="C55" t="inlineStr">
        <is>
          <t>Equipe</t>
        </is>
      </c>
    </row>
    <row r="56">
      <c r="A56" t="inlineStr">
        <is>
          <t>P16</t>
        </is>
      </c>
      <c r="B56" t="inlineStr">
        <is>
          <t>Eduardo Rangel</t>
        </is>
      </c>
      <c r="C56" t="inlineStr">
        <is>
          <t>Equipe</t>
        </is>
      </c>
    </row>
    <row r="57">
      <c r="A57" t="inlineStr">
        <is>
          <t>P17</t>
        </is>
      </c>
      <c r="B57" t="inlineStr">
        <is>
          <t>Caio Ferraz</t>
        </is>
      </c>
      <c r="C57" t="inlineStr">
        <is>
          <t>Coordenação</t>
        </is>
      </c>
    </row>
    <row r="58">
      <c r="A58" t="inlineStr">
        <is>
          <t>P17</t>
        </is>
      </c>
      <c r="B58" t="inlineStr">
        <is>
          <t>Eduardo Rangel</t>
        </is>
      </c>
      <c r="C58" t="inlineStr">
        <is>
          <t>Equipe</t>
        </is>
      </c>
    </row>
    <row r="59">
      <c r="A59" t="inlineStr">
        <is>
          <t>P17</t>
        </is>
      </c>
      <c r="B59" t="inlineStr">
        <is>
          <t>Patrícia Moura</t>
        </is>
      </c>
      <c r="C59" t="inlineStr">
        <is>
          <t>Equipe</t>
        </is>
      </c>
    </row>
    <row r="60">
      <c r="A60" t="inlineStr">
        <is>
          <t>P18</t>
        </is>
      </c>
      <c r="B60" t="inlineStr">
        <is>
          <t>Caio Ferraz</t>
        </is>
      </c>
      <c r="C60" t="inlineStr">
        <is>
          <t>Coordenação</t>
        </is>
      </c>
    </row>
    <row r="61">
      <c r="A61" t="inlineStr">
        <is>
          <t>P18</t>
        </is>
      </c>
      <c r="B61" t="inlineStr">
        <is>
          <t>Patrícia Moura</t>
        </is>
      </c>
      <c r="C61" t="inlineStr">
        <is>
          <t>Equipe</t>
        </is>
      </c>
    </row>
    <row r="62">
      <c r="A62" t="inlineStr">
        <is>
          <t>P18</t>
        </is>
      </c>
      <c r="B62" t="inlineStr">
        <is>
          <t>Eduardo Rangel</t>
        </is>
      </c>
      <c r="C62" t="inlineStr">
        <is>
          <t>Equipe</t>
        </is>
      </c>
    </row>
    <row r="63">
      <c r="A63" t="inlineStr">
        <is>
          <t>P19</t>
        </is>
      </c>
      <c r="B63" t="inlineStr">
        <is>
          <t>Beatriz Nogueira</t>
        </is>
      </c>
      <c r="C63" t="inlineStr">
        <is>
          <t>Coordenação</t>
        </is>
      </c>
    </row>
    <row r="64">
      <c r="A64" t="inlineStr">
        <is>
          <t>P19</t>
        </is>
      </c>
      <c r="B64" t="inlineStr">
        <is>
          <t>Caio Ferraz</t>
        </is>
      </c>
      <c r="C64" t="inlineStr">
        <is>
          <t>Coordenação</t>
        </is>
      </c>
    </row>
    <row r="65">
      <c r="A65" t="inlineStr">
        <is>
          <t>P19</t>
        </is>
      </c>
      <c r="B65" t="inlineStr">
        <is>
          <t>Gustavo Lacerda</t>
        </is>
      </c>
      <c r="C65" t="inlineStr">
        <is>
          <t>Equipe</t>
        </is>
      </c>
    </row>
    <row r="66">
      <c r="A66" t="inlineStr">
        <is>
          <t>P19</t>
        </is>
      </c>
      <c r="B66" t="inlineStr">
        <is>
          <t>Isadora Pimentel</t>
        </is>
      </c>
      <c r="C66" t="inlineStr">
        <is>
          <t>Equipe</t>
        </is>
      </c>
    </row>
    <row r="67">
      <c r="A67" t="inlineStr">
        <is>
          <t>P19</t>
        </is>
      </c>
      <c r="B67" t="inlineStr">
        <is>
          <t>Patrícia Moura</t>
        </is>
      </c>
      <c r="C67" t="inlineStr">
        <is>
          <t>Equipe</t>
        </is>
      </c>
    </row>
    <row r="68">
      <c r="A68" t="inlineStr">
        <is>
          <t>P19</t>
        </is>
      </c>
      <c r="B68" t="inlineStr">
        <is>
          <t>Tiago Valente</t>
        </is>
      </c>
      <c r="C68" t="inlineStr">
        <is>
          <t>Equipe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</cols>
  <sheetData>
    <row r="1">
      <c r="A1" s="1" t="inlineStr">
        <is>
          <t>frente_tematica</t>
        </is>
      </c>
      <c r="B1" s="1" t="inlineStr">
        <is>
          <t>cor_hex</t>
        </is>
      </c>
      <c r="C1" s="1" t="inlineStr">
        <is>
          <t>descricao</t>
        </is>
      </c>
    </row>
    <row r="2">
      <c r="A2" t="inlineStr">
        <is>
          <t>Saúde e bem-estar</t>
        </is>
      </c>
      <c r="B2" t="inlineStr">
        <is>
          <t>#754E55</t>
        </is>
      </c>
      <c r="C2" t="inlineStr">
        <is>
          <t>Acesso, satisfação e saúde mental.</t>
        </is>
      </c>
    </row>
    <row r="3">
      <c r="A3" t="inlineStr">
        <is>
          <t>Trabalho e renda</t>
        </is>
      </c>
      <c r="B3" t="inlineStr">
        <is>
          <t>#A998B4</t>
        </is>
      </c>
      <c r="C3" t="inlineStr">
        <is>
          <t>Microempreendedorismo, qualificação e geração de renda.</t>
        </is>
      </c>
    </row>
    <row r="4">
      <c r="A4" t="inlineStr">
        <is>
          <t>Educação</t>
        </is>
      </c>
      <c r="B4" t="inlineStr">
        <is>
          <t>#8C8F7A</t>
        </is>
      </c>
      <c r="C4" t="inlineStr">
        <is>
          <t>Alfabetização, formação docente e leitura.</t>
        </is>
      </c>
    </row>
    <row r="5">
      <c r="A5" t="inlineStr">
        <is>
          <t>Clima e meio ambiente</t>
        </is>
      </c>
      <c r="B5" t="inlineStr">
        <is>
          <t>#8F98B3</t>
        </is>
      </c>
      <c r="C5" t="inlineStr">
        <is>
          <t>Risco climático, adaptação e emissões.</t>
        </is>
      </c>
    </row>
    <row r="6">
      <c r="A6" t="inlineStr">
        <is>
          <t>Cultura e comunicação</t>
        </is>
      </c>
      <c r="B6" t="inlineStr">
        <is>
          <t>#B8808E</t>
        </is>
      </c>
      <c r="C6" t="inlineStr">
        <is>
          <t>Hábitos culturais e informação local.</t>
        </is>
      </c>
    </row>
    <row r="7">
      <c r="A7" t="inlineStr">
        <is>
          <t>Habitação e território</t>
        </is>
      </c>
      <c r="B7" t="inlineStr">
        <is>
          <t>#7F9692</t>
        </is>
      </c>
      <c r="C7" t="inlineStr">
        <is>
          <t>Moradia, deslocamentos e vulnerabilidade social.</t>
        </is>
      </c>
    </row>
    <row r="8">
      <c r="A8" t="inlineStr">
        <is>
          <t>Gestão pública e dados</t>
        </is>
      </c>
      <c r="B8" t="inlineStr">
        <is>
          <t>#8FA3A0</t>
        </is>
      </c>
      <c r="C8" t="inlineStr">
        <is>
          <t>Transparência, painéis e avaliação de programas.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1" t="inlineStr">
        <is>
          <t>parceiro</t>
        </is>
      </c>
      <c r="B1" s="1" t="inlineStr">
        <is>
          <t>tipo_sugerido</t>
        </is>
      </c>
    </row>
    <row r="2">
      <c r="A2" t="inlineStr">
        <is>
          <t>Agência Municipal de Fomento (AMF)</t>
        </is>
      </c>
      <c r="B2" t="inlineStr">
        <is>
          <t>Público</t>
        </is>
      </c>
    </row>
    <row r="3">
      <c r="A3" t="inlineStr">
        <is>
          <t>Associação Nacional de Mobilidade Ativa (ANMA)</t>
        </is>
      </c>
      <c r="B3" t="inlineStr">
        <is>
          <t>Terceiro setor</t>
        </is>
      </c>
    </row>
    <row r="4">
      <c r="A4" t="inlineStr">
        <is>
          <t>Banco Meridional</t>
        </is>
      </c>
      <c r="B4" t="inlineStr">
        <is>
          <t>Privado</t>
        </is>
      </c>
    </row>
    <row r="5">
      <c r="A5" t="inlineStr">
        <is>
          <t>Centro de Estudos da Sociedade Digital (CESD)</t>
        </is>
      </c>
      <c r="B5" t="inlineStr">
        <is>
          <t>Terceiro setor</t>
        </is>
      </c>
    </row>
    <row r="6">
      <c r="A6" t="inlineStr">
        <is>
          <t>Cooperativa AgroNorte</t>
        </is>
      </c>
      <c r="B6" t="inlineStr">
        <is>
          <t>Privado</t>
        </is>
      </c>
    </row>
    <row r="7">
      <c r="A7" t="inlineStr">
        <is>
          <t>Fundação Horizonte Social</t>
        </is>
      </c>
      <c r="B7" t="inlineStr">
        <is>
          <t>Terceiro setor</t>
        </is>
      </c>
    </row>
    <row r="8">
      <c r="A8" t="inlineStr">
        <is>
          <t>Fundação Vale Verde</t>
        </is>
      </c>
      <c r="B8" t="inlineStr">
        <is>
          <t>Terceiro setor</t>
        </is>
      </c>
    </row>
    <row r="9">
      <c r="A9" t="inlineStr">
        <is>
          <t>Hospital Universitário Santa Aurora</t>
        </is>
      </c>
      <c r="B9" t="inlineStr">
        <is>
          <t>Terceiro setor</t>
        </is>
      </c>
    </row>
    <row r="10">
      <c r="A10" t="inlineStr">
        <is>
          <t>Instituto Cidades em Rede</t>
        </is>
      </c>
      <c r="B10" t="inlineStr">
        <is>
          <t>Terceiro setor</t>
        </is>
      </c>
    </row>
    <row r="11">
      <c r="A11" t="inlineStr">
        <is>
          <t>Instituto Semear</t>
        </is>
      </c>
      <c r="B11" t="inlineStr">
        <is>
          <t>Terceiro setor</t>
        </is>
      </c>
    </row>
    <row r="12">
      <c r="A12" t="inlineStr">
        <is>
          <t>Prefeitura de Rio Claro do Sul (Controladoria)</t>
        </is>
      </c>
      <c r="B12" t="inlineStr">
        <is>
          <t>Público</t>
        </is>
      </c>
    </row>
    <row r="13">
      <c r="A13" t="inlineStr">
        <is>
          <t>Prefeitura de Rio Claro do Sul (Defesa Civil)</t>
        </is>
      </c>
      <c r="B13" t="inlineStr">
        <is>
          <t>Público</t>
        </is>
      </c>
    </row>
    <row r="14">
      <c r="A14" t="inlineStr">
        <is>
          <t>Prefeitura de Rio Claro do Sul (Secretaria de Habitação)</t>
        </is>
      </c>
      <c r="B14" t="inlineStr">
        <is>
          <t>Público</t>
        </is>
      </c>
    </row>
    <row r="15">
      <c r="A15" t="inlineStr">
        <is>
          <t>Prefeitura de Rio Claro do Sul (Secretaria de Saúde)</t>
        </is>
      </c>
      <c r="B15" t="inlineStr">
        <is>
          <t>Público</t>
        </is>
      </c>
    </row>
    <row r="16">
      <c r="A16" t="inlineStr">
        <is>
          <t>Secretaria Estadual de Cultura</t>
        </is>
      </c>
      <c r="B16" t="inlineStr">
        <is>
          <t>Público</t>
        </is>
      </c>
    </row>
    <row r="17">
      <c r="A17" t="inlineStr">
        <is>
          <t>Secretaria Estadual de Educação</t>
        </is>
      </c>
      <c r="B17" t="inlineStr">
        <is>
          <t>Público</t>
        </is>
      </c>
    </row>
    <row r="18">
      <c r="A18" t="inlineStr">
        <is>
          <t>Rede Latino-Americana de Pesquisa Aplicada</t>
        </is>
      </c>
      <c r="B18" t="inlineStr">
        <is>
          <t>Internacional</t>
        </is>
      </c>
    </row>
    <row r="19">
      <c r="A19" t="inlineStr">
        <is>
          <t>Seguradora Bem Viver</t>
        </is>
      </c>
      <c r="B19" t="inlineStr">
        <is>
          <t>Privado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70" customWidth="1" min="3" max="3"/>
  </cols>
  <sheetData>
    <row r="1">
      <c r="A1" s="1" t="inlineStr">
        <is>
          <t>nome</t>
        </is>
      </c>
      <c r="B1" s="1" t="inlineStr">
        <is>
          <t>papel_no_nucleo</t>
        </is>
      </c>
      <c r="C1" s="1" t="inlineStr">
        <is>
          <t>minibio</t>
        </is>
      </c>
    </row>
    <row r="2">
      <c r="A2" t="inlineStr">
        <is>
          <t>Helena Marques</t>
        </is>
      </c>
      <c r="B2" t="inlineStr">
        <is>
          <t>Coordenação do núcleo</t>
        </is>
      </c>
      <c r="C2" s="2" t="inlineStr">
        <is>
          <t>Doutora em Sociologia. Coordena o laboratório de métodos do instituto. 18 anos de experiência em pesquisa qualitativa e quantitativa.</t>
        </is>
      </c>
    </row>
    <row r="3">
      <c r="A3" t="inlineStr">
        <is>
          <t>Rodrigo Tavares</t>
        </is>
      </c>
      <c r="B3" t="inlineStr">
        <is>
          <t>Coordenação do núcleo</t>
        </is>
      </c>
      <c r="C3" s="2" t="inlineStr">
        <is>
          <t>Doutor em Ciência Política. Avaliação de políticas públicas e planejamento territorial.</t>
        </is>
      </c>
    </row>
    <row r="4">
      <c r="A4" t="inlineStr">
        <is>
          <t>Beatriz Nogueira</t>
        </is>
      </c>
      <c r="B4" t="inlineStr">
        <is>
          <t>Coordenação do núcleo</t>
        </is>
      </c>
      <c r="C4" s="2" t="inlineStr">
        <is>
          <t>Socióloga, doutora em Educação. Desenho de pesquisa e metodologia qualitativa.</t>
        </is>
      </c>
    </row>
    <row r="5">
      <c r="A5" t="inlineStr">
        <is>
          <t>Caio Ferraz</t>
        </is>
      </c>
      <c r="B5" t="inlineStr">
        <is>
          <t>Coordenação do núcleo</t>
        </is>
      </c>
      <c r="C5" s="2" t="inlineStr">
        <is>
          <t>Geógrafo, doutor em Administração Pública. Indicadores e planejamento territorial.</t>
        </is>
      </c>
    </row>
    <row r="6">
      <c r="A6" t="inlineStr">
        <is>
          <t>Larissa Duarte</t>
        </is>
      </c>
      <c r="B6" t="inlineStr">
        <is>
          <t>Pesquisa</t>
        </is>
      </c>
      <c r="C6" s="2" t="inlineStr">
        <is>
          <t>Doutora em Antropologia Social. Etnografia e pesquisa qualitativa.</t>
        </is>
      </c>
    </row>
    <row r="7">
      <c r="A7" t="inlineStr">
        <is>
          <t>Mateus Albuquerque</t>
        </is>
      </c>
      <c r="B7" t="inlineStr">
        <is>
          <t>Pesquisa</t>
        </is>
      </c>
      <c r="C7" s="2" t="inlineStr">
        <is>
          <t>Mestre em Políticas Públicas. Saúde e uso do tempo.</t>
        </is>
      </c>
    </row>
    <row r="8">
      <c r="A8" t="inlineStr">
        <is>
          <t>Renata Siqueira</t>
        </is>
      </c>
      <c r="B8" t="inlineStr">
        <is>
          <t>Pesquisa</t>
        </is>
      </c>
      <c r="C8" s="2" t="inlineStr">
        <is>
          <t>Doutora em Sociologia. Trabalho, tecnologia e consumo.</t>
        </is>
      </c>
    </row>
    <row r="9">
      <c r="A9" t="inlineStr">
        <is>
          <t>Gustavo Lacerda</t>
        </is>
      </c>
      <c r="B9" t="inlineStr">
        <is>
          <t>Pesquisa</t>
        </is>
      </c>
      <c r="C9" s="2" t="inlineStr">
        <is>
          <t>Mestre em Estatística. Surveys e análise quantitativa.</t>
        </is>
      </c>
    </row>
    <row r="10">
      <c r="A10" t="inlineStr">
        <is>
          <t>Isadora Pimentel</t>
        </is>
      </c>
      <c r="B10" t="inlineStr">
        <is>
          <t>Pesquisa</t>
        </is>
      </c>
      <c r="C10" s="2" t="inlineStr">
        <is>
          <t>Doutoranda em Ciências Sociais. Juventude e cultura.</t>
        </is>
      </c>
    </row>
    <row r="11">
      <c r="A11" t="inlineStr">
        <is>
          <t>Tiago Valente</t>
        </is>
      </c>
      <c r="B11" t="inlineStr">
        <is>
          <t>Pesquisa</t>
        </is>
      </c>
      <c r="C11" s="2" t="inlineStr">
        <is>
          <t>Mestre em Administração. Inovação e gestão pública.</t>
        </is>
      </c>
    </row>
    <row r="12">
      <c r="A12" t="inlineStr">
        <is>
          <t>Camile Brandão</t>
        </is>
      </c>
      <c r="B12" t="inlineStr">
        <is>
          <t>Pesquisa</t>
        </is>
      </c>
      <c r="C12" s="2" t="inlineStr">
        <is>
          <t>Doutoranda em Antropologia. Métodos qualitativos e relações raciais.</t>
        </is>
      </c>
    </row>
    <row r="13">
      <c r="A13" t="inlineStr">
        <is>
          <t>Eduardo Rangel</t>
        </is>
      </c>
      <c r="B13" t="inlineStr">
        <is>
          <t>Pesquisa</t>
        </is>
      </c>
      <c r="C13" s="2" t="inlineStr">
        <is>
          <t>Pós-graduando em Ciência de Dados. Geoprocessamento, Python, R e Power BI.</t>
        </is>
      </c>
    </row>
    <row r="14">
      <c r="A14" t="inlineStr">
        <is>
          <t>Patrícia Moura</t>
        </is>
      </c>
      <c r="B14" t="inlineStr">
        <is>
          <t>Pesquisa</t>
        </is>
      </c>
      <c r="C14" s="2" t="inlineStr">
        <is>
          <t>Mestre em Políticas Públicas. Monitoramento e avaliação.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0" customWidth="1" min="3" max="3"/>
    <col width="45" customWidth="1" min="4" max="4"/>
    <col width="12" customWidth="1" min="5" max="5"/>
  </cols>
  <sheetData>
    <row r="1">
      <c r="A1" s="1" t="inlineStr">
        <is>
          <t>id_projeto</t>
        </is>
      </c>
      <c r="B1" s="1" t="inlineStr">
        <is>
          <t>tipo</t>
        </is>
      </c>
      <c r="C1" s="1" t="inlineStr">
        <is>
          <t>titulo</t>
        </is>
      </c>
      <c r="D1" s="1" t="inlineStr">
        <is>
          <t>veiculo_ou_evento</t>
        </is>
      </c>
      <c r="E1" s="1" t="inlineStr">
        <is>
          <t>data</t>
        </is>
      </c>
    </row>
    <row r="2">
      <c r="A2" t="inlineStr">
        <is>
          <t>P01</t>
        </is>
      </c>
      <c r="B2" t="inlineStr">
        <is>
          <t>Evento</t>
        </is>
      </c>
      <c r="C2" s="2" t="inlineStr">
        <is>
          <t>Apresentação dos resultados sobre acesso a especialistas</t>
        </is>
      </c>
      <c r="D2" t="inlineStr">
        <is>
          <t>Encontro Nacional de Saúde e Sociedade (Recife)</t>
        </is>
      </c>
      <c r="E2" t="inlineStr">
        <is>
          <t>2025-04-14</t>
        </is>
      </c>
    </row>
    <row r="3">
      <c r="A3" t="inlineStr">
        <is>
          <t>P02</t>
        </is>
      </c>
      <c r="B3" t="inlineStr">
        <is>
          <t>Mídia</t>
        </is>
      </c>
      <c r="C3" s="2" t="inlineStr">
        <is>
          <t>Estudo mostra o que mais pesa na satisfação com o atendimento nas unidades de saúde</t>
        </is>
      </c>
      <c r="D3" t="inlineStr">
        <is>
          <t>Jornal Diário do Sul</t>
        </is>
      </c>
      <c r="E3" t="inlineStr"/>
    </row>
    <row r="4">
      <c r="A4" t="inlineStr">
        <is>
          <t>P04</t>
        </is>
      </c>
      <c r="B4" t="inlineStr">
        <is>
          <t>Artigo</t>
        </is>
      </c>
      <c r="C4" s="2" t="inlineStr">
        <is>
          <t>Microempreendedores e dívidas: o que os dados mostram</t>
        </is>
      </c>
      <c r="D4" t="inlineStr">
        <is>
          <t>Revista Cidade Aberta</t>
        </is>
      </c>
      <c r="E4" t="inlineStr"/>
    </row>
    <row r="5">
      <c r="A5" t="inlineStr">
        <is>
          <t>P04</t>
        </is>
      </c>
      <c r="B5" t="inlineStr">
        <is>
          <t>Evento</t>
        </is>
      </c>
      <c r="C5" s="2" t="inlineStr">
        <is>
          <t>Painel sobre crédito e renda de pequenos negócios</t>
        </is>
      </c>
      <c r="D5" t="inlineStr">
        <is>
          <t>Seminário Economia do Dia a Dia (Porto Alegre)</t>
        </is>
      </c>
      <c r="E5" t="inlineStr">
        <is>
          <t>2025-11-25</t>
        </is>
      </c>
    </row>
    <row r="6">
      <c r="A6" t="inlineStr">
        <is>
          <t>P07</t>
        </is>
      </c>
      <c r="B6" t="inlineStr">
        <is>
          <t>Artigo</t>
        </is>
      </c>
      <c r="C6" s="2" t="inlineStr">
        <is>
          <t>O que funciona na alfabetização das redes municipais</t>
        </is>
      </c>
      <c r="D6" t="inlineStr">
        <is>
          <t>Revista Cidade Aberta</t>
        </is>
      </c>
      <c r="E6" t="inlineStr"/>
    </row>
    <row r="7">
      <c r="A7" t="inlineStr">
        <is>
          <t>P07</t>
        </is>
      </c>
      <c r="B7" t="inlineStr">
        <is>
          <t>Evento</t>
        </is>
      </c>
      <c r="C7" s="2" t="inlineStr">
        <is>
          <t>Lançamento do relatório de alfabetização</t>
        </is>
      </c>
      <c r="D7" t="inlineStr">
        <is>
          <t>Congresso de Educação Pública 2025 (Curitiba)</t>
        </is>
      </c>
      <c r="E7" t="inlineStr">
        <is>
          <t>2025-10-30</t>
        </is>
      </c>
    </row>
    <row r="8">
      <c r="A8" t="inlineStr">
        <is>
          <t>P10</t>
        </is>
      </c>
      <c r="B8" t="inlineStr">
        <is>
          <t>Mídia</t>
        </is>
      </c>
      <c r="C8" s="2" t="inlineStr">
        <is>
          <t>Moradores de bairros periféricos percebem o risco de enchente antes dos alertas oficiais</t>
        </is>
      </c>
      <c r="D8" t="inlineStr">
        <is>
          <t>Rádio Metropolitana</t>
        </is>
      </c>
      <c r="E8" t="inlineStr"/>
    </row>
    <row r="9">
      <c r="A9" t="inlineStr">
        <is>
          <t>P10</t>
        </is>
      </c>
      <c r="B9" t="inlineStr">
        <is>
          <t>Evento</t>
        </is>
      </c>
      <c r="C9" s="2" t="inlineStr">
        <is>
          <t>Participação de Rodrigo Tavares no Fórum Cidades e Clima 2025</t>
        </is>
      </c>
      <c r="D9" t="inlineStr">
        <is>
          <t>Fórum Cidades e Clima (São Paulo)</t>
        </is>
      </c>
      <c r="E9" t="inlineStr">
        <is>
          <t>2025-09-24</t>
        </is>
      </c>
    </row>
    <row r="10">
      <c r="A10" t="inlineStr">
        <is>
          <t>P15</t>
        </is>
      </c>
      <c r="B10" t="inlineStr">
        <is>
          <t>Artigo</t>
        </is>
      </c>
      <c r="C10" s="2" t="inlineStr">
        <is>
          <t>Condições de moradia em ocupações: o que o cadastro revela</t>
        </is>
      </c>
      <c r="D10" t="inlineStr">
        <is>
          <t>Portal Política em Foco</t>
        </is>
      </c>
      <c r="E10" t="inlineStr"/>
    </row>
    <row r="11">
      <c r="A11" t="inlineStr">
        <is>
          <t>P19</t>
        </is>
      </c>
      <c r="B11" t="inlineStr">
        <is>
          <t>Mídia</t>
        </is>
      </c>
      <c r="C11" s="2" t="inlineStr">
        <is>
          <t>Programa de microcrédito é avaliado por equipe independente</t>
        </is>
      </c>
      <c r="D11" t="inlineStr">
        <is>
          <t>Jornal Diário do Sul</t>
        </is>
      </c>
      <c r="E11" t="inlineStr"/>
    </row>
    <row r="12">
      <c r="A12" t="inlineStr"/>
      <c r="B12" t="inlineStr">
        <is>
          <t>Evento</t>
        </is>
      </c>
      <c r="C12" s="2" t="inlineStr">
        <is>
          <t>Larissa Duarte como painelista em 'Métodos qualitativos em políticas públicas'</t>
        </is>
      </c>
      <c r="D12" t="inlineStr">
        <is>
          <t>Encontro de Pesquisa Aplicada 2025</t>
        </is>
      </c>
      <c r="E12" t="inlineStr">
        <is>
          <t>2025-10-30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Projetos na base</t>
        </is>
      </c>
      <c r="B2">
        <f>COUNTA(Projetos!A2:A)</f>
        <v/>
      </c>
    </row>
    <row r="3">
      <c r="A3" t="inlineStr">
        <is>
          <t>Projetos em andamento</t>
        </is>
      </c>
      <c r="B3">
        <f>COUNTIF(Projetos!N2:N,"Em andamento")</f>
        <v/>
      </c>
    </row>
    <row r="4">
      <c r="A4" t="inlineStr">
        <is>
          <t>Projetos concluídos</t>
        </is>
      </c>
      <c r="B4">
        <f>COUNTIF(Projetos!N2:N,"Concluído")</f>
        <v/>
      </c>
    </row>
    <row r="5">
      <c r="A5" t="inlineStr">
        <is>
          <t>Entrevistas em profundidade (soma)</t>
        </is>
      </c>
      <c r="B5">
        <f>SUM(Projetos!O2:O)</f>
        <v/>
      </c>
    </row>
    <row r="6">
      <c r="A6" t="inlineStr">
        <is>
          <t>Grupos focais (soma)</t>
        </is>
      </c>
      <c r="B6">
        <f>SUM(Projetos!P2:P)</f>
        <v/>
      </c>
    </row>
    <row r="7">
      <c r="A7" t="inlineStr">
        <is>
          <t>Parceiros e financiadores</t>
        </is>
      </c>
      <c r="B7">
        <f>COUNTA(Parceiros!A2:A)</f>
        <v/>
      </c>
    </row>
    <row r="8">
      <c r="A8" t="inlineStr">
        <is>
          <t>Pesquisadores</t>
        </is>
      </c>
      <c r="B8">
        <f>COUNTA(Equipe!A2:A)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2026-10-21T18:32:43Z</dcterms:created>
  <dcterms:modified xmlns:dcterms="http://purl.org/dc/terms/" xmlns:xsi="http://www.w3.org/2001/XMLSchema-instance" xsi:type="dcterms:W3CDTF">2026-10-21T18:32:43Z</dcterms:modified>
</cp:coreProperties>
</file>